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OneDrive\Desktop\"/>
    </mc:Choice>
  </mc:AlternateContent>
  <xr:revisionPtr revIDLastSave="0" documentId="13_ncr:1_{C8B4C599-674F-4323-BFDE-4CD02C5D5C0F}" xr6:coauthVersionLast="47" xr6:coauthVersionMax="47" xr10:uidLastSave="{00000000-0000-0000-0000-000000000000}"/>
  <bookViews>
    <workbookView xWindow="-108" yWindow="-108" windowWidth="23256" windowHeight="12456" activeTab="1" xr2:uid="{867C1920-5608-46BD-9AF0-55D514CE8C08}"/>
  </bookViews>
  <sheets>
    <sheet name="Student_Data" sheetId="1" r:id="rId1"/>
    <sheet name="Marks_Analysis" sheetId="2" r:id="rId2"/>
    <sheet name="Ch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2" l="1"/>
  <c r="G13" i="2"/>
  <c r="H16" i="2"/>
  <c r="H10" i="2"/>
  <c r="G6" i="2"/>
  <c r="Q6" i="2" s="1"/>
  <c r="K3" i="2"/>
  <c r="Q3" i="2"/>
  <c r="L3" i="2"/>
  <c r="I17" i="2"/>
  <c r="H17" i="2"/>
  <c r="G17" i="2"/>
  <c r="Q17" i="2" s="1"/>
  <c r="I16" i="2"/>
  <c r="I15" i="2"/>
  <c r="G15" i="2"/>
  <c r="I14" i="2"/>
  <c r="H14" i="2"/>
  <c r="G14" i="2"/>
  <c r="Q14" i="2" s="1"/>
  <c r="I13" i="2"/>
  <c r="H13" i="2"/>
  <c r="I12" i="2"/>
  <c r="G12" i="2"/>
  <c r="Q12" i="2" s="1"/>
  <c r="I11" i="2"/>
  <c r="H11" i="2"/>
  <c r="G11" i="2"/>
  <c r="Q11" i="2" s="1"/>
  <c r="I10" i="2"/>
  <c r="Q10" i="2" s="1"/>
  <c r="I9" i="2"/>
  <c r="H9" i="2"/>
  <c r="G9" i="2"/>
  <c r="Q9" i="2" s="1"/>
  <c r="I8" i="2"/>
  <c r="H8" i="2"/>
  <c r="G8" i="2"/>
  <c r="Q8" i="2" s="1"/>
  <c r="I7" i="2"/>
  <c r="H7" i="2"/>
  <c r="G7" i="2"/>
  <c r="Q7" i="2" s="1"/>
  <c r="I6" i="2"/>
  <c r="I5" i="2"/>
  <c r="H5" i="2"/>
  <c r="G5" i="2"/>
  <c r="Q5" i="2" s="1"/>
  <c r="I4" i="2"/>
  <c r="H4" i="2"/>
  <c r="G4" i="2"/>
  <c r="Q4" i="2" s="1"/>
  <c r="J3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3" i="1"/>
  <c r="Q16" i="2" l="1"/>
  <c r="Q13" i="2"/>
  <c r="Q15" i="2"/>
  <c r="J4" i="2"/>
  <c r="K4" i="2" s="1"/>
  <c r="J15" i="2"/>
  <c r="K15" i="2" s="1"/>
  <c r="J16" i="2"/>
  <c r="K16" i="2" s="1"/>
  <c r="J5" i="2"/>
  <c r="K5" i="2" s="1"/>
  <c r="J14" i="2"/>
  <c r="K14" i="2" s="1"/>
  <c r="J10" i="2"/>
  <c r="K10" i="2" s="1"/>
  <c r="J8" i="2"/>
  <c r="K8" i="2" s="1"/>
  <c r="J7" i="2"/>
  <c r="K7" i="2" s="1"/>
  <c r="J13" i="2"/>
  <c r="K13" i="2" s="1"/>
  <c r="J6" i="2"/>
  <c r="K6" i="2" s="1"/>
  <c r="J11" i="2"/>
  <c r="K11" i="2" s="1"/>
  <c r="J12" i="2"/>
  <c r="K12" i="2" s="1"/>
  <c r="J17" i="2"/>
  <c r="K17" i="2" s="1"/>
  <c r="J9" i="2"/>
  <c r="K9" i="2" s="1"/>
  <c r="M3" i="2" l="1"/>
  <c r="N3" i="2"/>
  <c r="P3" i="2"/>
  <c r="O3" i="2"/>
</calcChain>
</file>

<file path=xl/sharedStrings.xml><?xml version="1.0" encoding="utf-8"?>
<sst xmlns="http://schemas.openxmlformats.org/spreadsheetml/2006/main" count="163" uniqueCount="86">
  <si>
    <t>Full Name</t>
  </si>
  <si>
    <t>Roll No.</t>
  </si>
  <si>
    <t>Class</t>
  </si>
  <si>
    <t>City</t>
  </si>
  <si>
    <t>Maths(Subject 1)</t>
  </si>
  <si>
    <t>English(Subject 2)</t>
  </si>
  <si>
    <t>Science(Subject 3)</t>
  </si>
  <si>
    <t>Harsha Sharma</t>
  </si>
  <si>
    <t>Divya Kumari</t>
  </si>
  <si>
    <t>Trina Bhattacharya</t>
  </si>
  <si>
    <t>Shreya Kumari</t>
  </si>
  <si>
    <t>Yashna Mahilang</t>
  </si>
  <si>
    <t>Apeksha Thawkar</t>
  </si>
  <si>
    <t>Krishna Bohare</t>
  </si>
  <si>
    <t>Krish Gupta</t>
  </si>
  <si>
    <t>Abhay Raj</t>
  </si>
  <si>
    <t>Yash Kohle</t>
  </si>
  <si>
    <t>Prince Kumar</t>
  </si>
  <si>
    <t>Anmol Dubey</t>
  </si>
  <si>
    <t>Nitish Sharma</t>
  </si>
  <si>
    <t>Khushi Gupta</t>
  </si>
  <si>
    <t>Sahitya Singh</t>
  </si>
  <si>
    <t>Bhilai</t>
  </si>
  <si>
    <t>Bihar</t>
  </si>
  <si>
    <t>Bilaspur</t>
  </si>
  <si>
    <t>Maharashtra</t>
  </si>
  <si>
    <t>Patna</t>
  </si>
  <si>
    <t>Raipur</t>
  </si>
  <si>
    <t>Jamshedpur</t>
  </si>
  <si>
    <t>Gwalior</t>
  </si>
  <si>
    <t>Bhagalpur</t>
  </si>
  <si>
    <t>First Name</t>
  </si>
  <si>
    <t>Last Name</t>
  </si>
  <si>
    <t>Salempur</t>
  </si>
  <si>
    <t>Harsha</t>
  </si>
  <si>
    <t>Divya</t>
  </si>
  <si>
    <t>Krishna</t>
  </si>
  <si>
    <t>Krish</t>
  </si>
  <si>
    <t>Yashna</t>
  </si>
  <si>
    <t>Trina</t>
  </si>
  <si>
    <t>Shreya</t>
  </si>
  <si>
    <t>Apeksha</t>
  </si>
  <si>
    <t>Abhay</t>
  </si>
  <si>
    <t>Yash</t>
  </si>
  <si>
    <t>Prince</t>
  </si>
  <si>
    <t>Anmol</t>
  </si>
  <si>
    <t>Nitish</t>
  </si>
  <si>
    <t>Khushi</t>
  </si>
  <si>
    <t>Sahitya</t>
  </si>
  <si>
    <t>Sharma</t>
  </si>
  <si>
    <t>Kumari</t>
  </si>
  <si>
    <t>Bohare</t>
  </si>
  <si>
    <t>Gupta</t>
  </si>
  <si>
    <t>Mahilang</t>
  </si>
  <si>
    <t>Bhattacharya</t>
  </si>
  <si>
    <t>Thawkar</t>
  </si>
  <si>
    <t>Raj</t>
  </si>
  <si>
    <t>Kohle</t>
  </si>
  <si>
    <t>Kumar</t>
  </si>
  <si>
    <t>Dubey</t>
  </si>
  <si>
    <t>Singh</t>
  </si>
  <si>
    <t>Total</t>
  </si>
  <si>
    <t>Remark</t>
  </si>
  <si>
    <t>Student belong to Bhilai</t>
  </si>
  <si>
    <t>Max marks</t>
  </si>
  <si>
    <t>Min Marks</t>
  </si>
  <si>
    <t>Average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</si>
  <si>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</si>
  <si>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</si>
  <si>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</si>
  <si>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</si>
  <si>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</si>
  <si>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</si>
  <si>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</si>
  <si>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</si>
  <si>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</si>
  <si>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</si>
  <si>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</si>
  <si>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</si>
  <si>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</si>
  <si>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</si>
  <si>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</si>
  <si>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</si>
  <si>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No. of pass students</t>
  </si>
  <si>
    <t>Column132</t>
  </si>
  <si>
    <t>No. of fail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</si>
</sst>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Marks_Analysis!$G$2</c:f>
              <c:strCache>
                <c:ptCount val="1"/>
                <c:pt idx="0">
                  <c:v>Maths(Subject 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Marks_Analysis!$G$3:$G$17</c:f>
              <c:numCache>
                <c:formatCode>General</c:formatCode>
                <c:ptCount val="15"/>
                <c:pt idx="0">
                  <c:v>89</c:v>
                </c:pt>
                <c:pt idx="1">
                  <c:v>84</c:v>
                </c:pt>
                <c:pt idx="2">
                  <c:v>83</c:v>
                </c:pt>
                <c:pt idx="3">
                  <c:v>78</c:v>
                </c:pt>
                <c:pt idx="4">
                  <c:v>82</c:v>
                </c:pt>
                <c:pt idx="5">
                  <c:v>83</c:v>
                </c:pt>
                <c:pt idx="6">
                  <c:v>77</c:v>
                </c:pt>
                <c:pt idx="7">
                  <c:v>0</c:v>
                </c:pt>
                <c:pt idx="8">
                  <c:v>84</c:v>
                </c:pt>
                <c:pt idx="9">
                  <c:v>82</c:v>
                </c:pt>
                <c:pt idx="10">
                  <c:v>82</c:v>
                </c:pt>
                <c:pt idx="11">
                  <c:v>75</c:v>
                </c:pt>
                <c:pt idx="12">
                  <c:v>77</c:v>
                </c:pt>
                <c:pt idx="13">
                  <c:v>0</c:v>
                </c:pt>
                <c:pt idx="1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F-47FE-A676-DD8CFECB3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5437967"/>
        <c:axId val="835421647"/>
      </c:barChart>
      <c:catAx>
        <c:axId val="835437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421647"/>
        <c:crosses val="autoZero"/>
        <c:auto val="1"/>
        <c:lblAlgn val="ctr"/>
        <c:lblOffset val="100"/>
        <c:noMultiLvlLbl val="0"/>
      </c:catAx>
      <c:valAx>
        <c:axId val="83542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43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</xdr:row>
      <xdr:rowOff>137160</xdr:rowOff>
    </xdr:from>
    <xdr:to>
      <xdr:col>8</xdr:col>
      <xdr:colOff>7620</xdr:colOff>
      <xdr:row>16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67B4F4-2204-447F-8DF3-D8E3FF252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6C9851-EDD5-4171-A515-EB42B41FB5DE}" name="Table2" displayName="Table2" ref="A1:I16" totalsRowShown="0" headerRowDxfId="15" headerRowBorderDxfId="16" tableBorderDxfId="17">
  <autoFilter ref="A1:I16" xr:uid="{296C9851-EDD5-4171-A515-EB42B41FB5DE}"/>
  <tableColumns count="9">
    <tableColumn id="1" xr3:uid="{8B2950D3-87A0-49F1-9E46-816E82BC35A8}" name="Full Name"/>
    <tableColumn id="2" xr3:uid="{6573E7FB-098D-46D4-9A23-F962533BDAAB}" name="First Name"/>
    <tableColumn id="3" xr3:uid="{DAB6B29C-47A4-4F9B-A98D-F70E50E9DAA2}" name="Last Name"/>
    <tableColumn id="4" xr3:uid="{9607C0E4-464A-49AA-A202-97D88518F993}" name="Roll No."/>
    <tableColumn id="5" xr3:uid="{D7CA106A-08CF-4722-B5F4-D8AB4D2F8D80}" name="Class"/>
    <tableColumn id="6" xr3:uid="{7B321CD5-C318-4174-8C31-44723BCA307F}" name="City"/>
    <tableColumn id="7" xr3:uid="{9067581A-4BB0-4D5B-B58F-6820515C6268}" name="Maths(Subject 1)">
      <calculatedColumnFormula>RANDBETWEEN(75,85)</calculatedColumnFormula>
    </tableColumn>
    <tableColumn id="8" xr3:uid="{72A3FBD7-A7D9-476C-B088-A9E2C777B7AB}" name="English(Subject 2)">
      <calculatedColumnFormula>RANDBETWEEN(70,85)</calculatedColumnFormula>
    </tableColumn>
    <tableColumn id="9" xr3:uid="{89FD6DE6-2974-481B-ABDB-558913E7FB0E}" name="Science(Subject 3)">
      <calculatedColumnFormula>RANDBETWEEN(80,90)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DAED0-E9E2-43FD-8512-5BBD74FD4820}" name="Table1" displayName="Table1" ref="A1:Q17" totalsRowShown="0">
  <autoFilter ref="A1:Q17" xr:uid="{C8EDAED0-E9E2-43FD-8512-5BBD74FD4820}"/>
  <tableColumns count="17">
    <tableColumn id="1" xr3:uid="{432AC2B7-B130-40E9-B833-276F1CBC0FFD}" name="Column1"/>
    <tableColumn id="2" xr3:uid="{E074E11F-C3E8-4AD7-B742-88BCE136A095}" name="Column2"/>
    <tableColumn id="3" xr3:uid="{21025212-D886-4672-A69A-7796CDCDD134}" name="Column3"/>
    <tableColumn id="4" xr3:uid="{71E4EADA-CF20-42EE-9244-2E1F4D539BA6}" name="Column4"/>
    <tableColumn id="5" xr3:uid="{D246DD9B-0977-4F1A-AE32-49681C8E4F5B}" name="Column5"/>
    <tableColumn id="6" xr3:uid="{76238E39-47AA-4DBE-B949-474C25A045C0}" name="Column6"/>
    <tableColumn id="7" xr3:uid="{FB06C009-C5E8-4415-9701-21D92C7CC4E2}" name="Column7">
      <calculatedColumnFormula>RANDBETWEEN(75,85)</calculatedColumnFormula>
    </tableColumn>
    <tableColumn id="8" xr3:uid="{801C99A3-6B68-4178-A749-2CA2FF5802CC}" name="Column8">
      <calculatedColumnFormula>RANDBETWEEN(70,85)</calculatedColumnFormula>
    </tableColumn>
    <tableColumn id="9" xr3:uid="{48440189-CC94-42A2-ABFB-CCB72699C2F1}" name="Column9">
      <calculatedColumnFormula>RANDBETWEEN(80,90)</calculatedColumnFormula>
    </tableColumn>
    <tableColumn id="10" xr3:uid="{D06F57C5-FC50-45FD-A0A4-97E60EC80BFE}" name="Column10">
      <calculatedColumnFormula>SUM(G2:H2)</calculatedColumnFormula>
    </tableColumn>
    <tableColumn id="11" xr3:uid="{5BA5F4F1-4984-497B-A2C3-93F516C27AD9}" name="Column11">
      <calculatedColumnFormula>IF(J2&gt;=120,"Pass","Fail")</calculatedColumnFormula>
    </tableColumn>
    <tableColumn id="12" xr3:uid="{BB6053DE-8C46-4EE7-A910-C6303F21D14A}" name="Column12"/>
    <tableColumn id="13" xr3:uid="{A7329706-287E-4DCD-A3C2-90E953AA81A2}" name="Column13"/>
    <tableColumn id="17" xr3:uid="{586EFE5E-62CC-4619-B1C9-2F6B32671257}" name="Column132"/>
    <tableColumn id="14" xr3:uid="{B243E8E3-BD69-46A0-9582-C037D95D51BA}" name="Column14">
      <calculatedColumnFormula>MIN(G2:I2)</calculatedColumnFormula>
    </tableColumn>
    <tableColumn id="15" xr3:uid="{70BD14BC-E32B-4E41-AD90-3FFD0F10266C}" name="Column15">
      <calculatedColumnFormula>MAX(G2:I2)</calculatedColumnFormula>
    </tableColumn>
    <tableColumn id="16" xr3:uid="{A4902AA5-2492-4483-91AA-4F1FC7E127A0}" name="Column16" dataDxfId="18">
      <calculatedColumnFormula>AVERAGE(G2:I2)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7400-9143-4A88-B208-1075C9A3BD3E}">
  <dimension ref="A1:I16"/>
  <sheetViews>
    <sheetView workbookViewId="0">
      <selection activeCell="I20" sqref="I20"/>
    </sheetView>
  </sheetViews>
  <sheetFormatPr defaultRowHeight="14.4" x14ac:dyDescent="0.3"/>
  <cols>
    <col min="1" max="3" width="18" customWidth="1"/>
    <col min="4" max="4" width="15.88671875" customWidth="1"/>
    <col min="6" max="6" width="12.21875" customWidth="1"/>
    <col min="7" max="7" width="17.33203125" customWidth="1"/>
    <col min="8" max="8" width="17.88671875" customWidth="1"/>
    <col min="9" max="9" width="18.33203125" customWidth="1"/>
  </cols>
  <sheetData>
    <row r="1" spans="1:9" x14ac:dyDescent="0.3">
      <c r="A1" s="5" t="s">
        <v>0</v>
      </c>
      <c r="B1" s="5" t="s">
        <v>31</v>
      </c>
      <c r="C1" s="5" t="s">
        <v>32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</row>
    <row r="2" spans="1:9" x14ac:dyDescent="0.3">
      <c r="A2" t="s">
        <v>7</v>
      </c>
      <c r="B2" t="s">
        <v>34</v>
      </c>
      <c r="C2" t="s">
        <v>49</v>
      </c>
      <c r="D2">
        <v>1</v>
      </c>
      <c r="E2">
        <v>12</v>
      </c>
      <c r="F2" t="s">
        <v>33</v>
      </c>
      <c r="G2">
        <v>89</v>
      </c>
      <c r="H2">
        <f ca="1">RANDBETWEEN(70,85)</f>
        <v>75</v>
      </c>
      <c r="I2">
        <f ca="1">RANDBETWEEN(80,90)</f>
        <v>80</v>
      </c>
    </row>
    <row r="3" spans="1:9" x14ac:dyDescent="0.3">
      <c r="A3" t="s">
        <v>8</v>
      </c>
      <c r="B3" t="s">
        <v>35</v>
      </c>
      <c r="C3" t="s">
        <v>50</v>
      </c>
      <c r="D3">
        <v>2</v>
      </c>
      <c r="E3">
        <v>12</v>
      </c>
      <c r="F3" t="s">
        <v>23</v>
      </c>
      <c r="G3">
        <f ca="1">RANDBETWEEN(75,85)</f>
        <v>83</v>
      </c>
      <c r="H3">
        <f t="shared" ref="H3:H16" ca="1" si="0">RANDBETWEEN(70,85)</f>
        <v>74</v>
      </c>
      <c r="I3">
        <f t="shared" ref="I3:I16" ca="1" si="1">RANDBETWEEN(80,90)</f>
        <v>81</v>
      </c>
    </row>
    <row r="4" spans="1:9" x14ac:dyDescent="0.3">
      <c r="A4" t="s">
        <v>13</v>
      </c>
      <c r="B4" t="s">
        <v>36</v>
      </c>
      <c r="C4" t="s">
        <v>51</v>
      </c>
      <c r="D4">
        <v>3</v>
      </c>
      <c r="E4">
        <v>12</v>
      </c>
      <c r="F4" t="s">
        <v>29</v>
      </c>
      <c r="G4">
        <f t="shared" ref="G4:G16" ca="1" si="2">RANDBETWEEN(75,85)</f>
        <v>83</v>
      </c>
      <c r="H4">
        <f t="shared" ca="1" si="0"/>
        <v>85</v>
      </c>
      <c r="I4">
        <f t="shared" ca="1" si="1"/>
        <v>88</v>
      </c>
    </row>
    <row r="5" spans="1:9" x14ac:dyDescent="0.3">
      <c r="A5" t="s">
        <v>14</v>
      </c>
      <c r="B5" t="s">
        <v>37</v>
      </c>
      <c r="C5" t="s">
        <v>52</v>
      </c>
      <c r="D5">
        <v>4</v>
      </c>
      <c r="E5">
        <v>12</v>
      </c>
      <c r="F5" t="s">
        <v>22</v>
      </c>
      <c r="G5">
        <f t="shared" ca="1" si="2"/>
        <v>76</v>
      </c>
      <c r="H5">
        <f t="shared" ca="1" si="0"/>
        <v>81</v>
      </c>
      <c r="I5">
        <f t="shared" ca="1" si="1"/>
        <v>86</v>
      </c>
    </row>
    <row r="6" spans="1:9" x14ac:dyDescent="0.3">
      <c r="A6" t="s">
        <v>11</v>
      </c>
      <c r="B6" t="s">
        <v>38</v>
      </c>
      <c r="C6" t="s">
        <v>53</v>
      </c>
      <c r="D6">
        <v>5</v>
      </c>
      <c r="E6">
        <v>12</v>
      </c>
      <c r="F6" t="s">
        <v>22</v>
      </c>
      <c r="G6">
        <f t="shared" ca="1" si="2"/>
        <v>75</v>
      </c>
      <c r="H6">
        <f t="shared" ca="1" si="0"/>
        <v>72</v>
      </c>
      <c r="I6">
        <f t="shared" ca="1" si="1"/>
        <v>90</v>
      </c>
    </row>
    <row r="7" spans="1:9" x14ac:dyDescent="0.3">
      <c r="A7" t="s">
        <v>9</v>
      </c>
      <c r="B7" t="s">
        <v>39</v>
      </c>
      <c r="C7" t="s">
        <v>54</v>
      </c>
      <c r="D7">
        <v>6</v>
      </c>
      <c r="E7">
        <v>12</v>
      </c>
      <c r="F7" t="s">
        <v>24</v>
      </c>
      <c r="G7">
        <f t="shared" ca="1" si="2"/>
        <v>80</v>
      </c>
      <c r="H7">
        <f t="shared" ca="1" si="0"/>
        <v>70</v>
      </c>
      <c r="I7">
        <f t="shared" ca="1" si="1"/>
        <v>81</v>
      </c>
    </row>
    <row r="8" spans="1:9" x14ac:dyDescent="0.3">
      <c r="A8" t="s">
        <v>10</v>
      </c>
      <c r="B8" t="s">
        <v>40</v>
      </c>
      <c r="C8" t="s">
        <v>50</v>
      </c>
      <c r="D8">
        <v>7</v>
      </c>
      <c r="E8">
        <v>12</v>
      </c>
      <c r="F8" t="s">
        <v>23</v>
      </c>
      <c r="G8">
        <f t="shared" ca="1" si="2"/>
        <v>77</v>
      </c>
      <c r="H8">
        <f t="shared" ca="1" si="0"/>
        <v>76</v>
      </c>
      <c r="I8">
        <f t="shared" ca="1" si="1"/>
        <v>88</v>
      </c>
    </row>
    <row r="9" spans="1:9" x14ac:dyDescent="0.3">
      <c r="A9" t="s">
        <v>12</v>
      </c>
      <c r="B9" t="s">
        <v>41</v>
      </c>
      <c r="C9" t="s">
        <v>55</v>
      </c>
      <c r="D9">
        <v>8</v>
      </c>
      <c r="E9">
        <v>12</v>
      </c>
      <c r="F9" t="s">
        <v>25</v>
      </c>
      <c r="G9">
        <f t="shared" ca="1" si="2"/>
        <v>81</v>
      </c>
      <c r="H9">
        <f t="shared" ca="1" si="0"/>
        <v>73</v>
      </c>
      <c r="I9">
        <f t="shared" ca="1" si="1"/>
        <v>87</v>
      </c>
    </row>
    <row r="10" spans="1:9" x14ac:dyDescent="0.3">
      <c r="A10" t="s">
        <v>15</v>
      </c>
      <c r="B10" t="s">
        <v>42</v>
      </c>
      <c r="C10" t="s">
        <v>56</v>
      </c>
      <c r="D10">
        <v>9</v>
      </c>
      <c r="E10">
        <v>12</v>
      </c>
      <c r="F10" t="s">
        <v>30</v>
      </c>
      <c r="G10">
        <f t="shared" ca="1" si="2"/>
        <v>84</v>
      </c>
      <c r="H10">
        <f t="shared" ca="1" si="0"/>
        <v>81</v>
      </c>
      <c r="I10">
        <f t="shared" ca="1" si="1"/>
        <v>86</v>
      </c>
    </row>
    <row r="11" spans="1:9" x14ac:dyDescent="0.3">
      <c r="A11" t="s">
        <v>16</v>
      </c>
      <c r="B11" t="s">
        <v>43</v>
      </c>
      <c r="C11" t="s">
        <v>57</v>
      </c>
      <c r="D11">
        <v>10</v>
      </c>
      <c r="E11">
        <v>12</v>
      </c>
      <c r="F11" t="s">
        <v>22</v>
      </c>
      <c r="G11">
        <f t="shared" ca="1" si="2"/>
        <v>77</v>
      </c>
      <c r="H11">
        <f t="shared" ca="1" si="0"/>
        <v>74</v>
      </c>
      <c r="I11">
        <f t="shared" ca="1" si="1"/>
        <v>81</v>
      </c>
    </row>
    <row r="12" spans="1:9" x14ac:dyDescent="0.3">
      <c r="A12" t="s">
        <v>17</v>
      </c>
      <c r="B12" t="s">
        <v>44</v>
      </c>
      <c r="C12" t="s">
        <v>58</v>
      </c>
      <c r="D12">
        <v>11</v>
      </c>
      <c r="E12">
        <v>12</v>
      </c>
      <c r="F12" t="s">
        <v>26</v>
      </c>
      <c r="G12">
        <f t="shared" ca="1" si="2"/>
        <v>85</v>
      </c>
      <c r="H12">
        <f t="shared" ca="1" si="0"/>
        <v>80</v>
      </c>
      <c r="I12">
        <f t="shared" ca="1" si="1"/>
        <v>83</v>
      </c>
    </row>
    <row r="13" spans="1:9" x14ac:dyDescent="0.3">
      <c r="A13" t="s">
        <v>18</v>
      </c>
      <c r="B13" t="s">
        <v>45</v>
      </c>
      <c r="C13" t="s">
        <v>59</v>
      </c>
      <c r="D13">
        <v>12</v>
      </c>
      <c r="E13">
        <v>12</v>
      </c>
      <c r="F13" t="s">
        <v>27</v>
      </c>
      <c r="G13">
        <f t="shared" ca="1" si="2"/>
        <v>82</v>
      </c>
      <c r="H13">
        <f t="shared" ca="1" si="0"/>
        <v>76</v>
      </c>
      <c r="I13">
        <f t="shared" ca="1" si="1"/>
        <v>87</v>
      </c>
    </row>
    <row r="14" spans="1:9" x14ac:dyDescent="0.3">
      <c r="A14" t="s">
        <v>19</v>
      </c>
      <c r="B14" t="s">
        <v>46</v>
      </c>
      <c r="C14" t="s">
        <v>49</v>
      </c>
      <c r="D14">
        <v>13</v>
      </c>
      <c r="E14">
        <v>12</v>
      </c>
      <c r="F14" t="s">
        <v>22</v>
      </c>
      <c r="G14">
        <f t="shared" ca="1" si="2"/>
        <v>85</v>
      </c>
      <c r="H14">
        <f t="shared" ca="1" si="0"/>
        <v>84</v>
      </c>
      <c r="I14">
        <f t="shared" ca="1" si="1"/>
        <v>81</v>
      </c>
    </row>
    <row r="15" spans="1:9" x14ac:dyDescent="0.3">
      <c r="A15" t="s">
        <v>20</v>
      </c>
      <c r="B15" t="s">
        <v>47</v>
      </c>
      <c r="C15" t="s">
        <v>52</v>
      </c>
      <c r="D15">
        <v>14</v>
      </c>
      <c r="E15">
        <v>12</v>
      </c>
      <c r="F15" t="s">
        <v>23</v>
      </c>
      <c r="G15">
        <f t="shared" ca="1" si="2"/>
        <v>75</v>
      </c>
      <c r="H15">
        <f t="shared" ca="1" si="0"/>
        <v>71</v>
      </c>
      <c r="I15">
        <f t="shared" ca="1" si="1"/>
        <v>83</v>
      </c>
    </row>
    <row r="16" spans="1:9" x14ac:dyDescent="0.3">
      <c r="A16" t="s">
        <v>21</v>
      </c>
      <c r="B16" t="s">
        <v>48</v>
      </c>
      <c r="C16" t="s">
        <v>60</v>
      </c>
      <c r="D16">
        <v>15</v>
      </c>
      <c r="E16">
        <v>12</v>
      </c>
      <c r="F16" t="s">
        <v>28</v>
      </c>
      <c r="G16">
        <f t="shared" ca="1" si="2"/>
        <v>79</v>
      </c>
      <c r="H16">
        <f t="shared" ca="1" si="0"/>
        <v>73</v>
      </c>
      <c r="I16">
        <f t="shared" ca="1" si="1"/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1587-84C1-4874-969E-F14A0914B0C7}">
  <dimension ref="A1:Q17"/>
  <sheetViews>
    <sheetView tabSelected="1" zoomScale="94" zoomScaleNormal="94" workbookViewId="0">
      <selection activeCell="T20" sqref="T20"/>
    </sheetView>
  </sheetViews>
  <sheetFormatPr defaultRowHeight="14.4" x14ac:dyDescent="0.3"/>
  <cols>
    <col min="1" max="1" width="18" customWidth="1"/>
    <col min="2" max="2" width="15.21875" customWidth="1"/>
    <col min="3" max="3" width="13" customWidth="1"/>
    <col min="4" max="5" width="10.44140625" customWidth="1"/>
    <col min="6" max="6" width="11.33203125" customWidth="1"/>
    <col min="7" max="7" width="16.6640625" customWidth="1"/>
    <col min="8" max="8" width="17.5546875" customWidth="1"/>
    <col min="9" max="9" width="18.88671875" customWidth="1"/>
    <col min="10" max="10" width="14" customWidth="1"/>
    <col min="11" max="11" width="13.6640625" customWidth="1"/>
    <col min="12" max="12" width="21.77734375" customWidth="1"/>
    <col min="13" max="14" width="17.88671875" customWidth="1"/>
    <col min="15" max="17" width="11.44140625" customWidth="1"/>
  </cols>
  <sheetData>
    <row r="1" spans="1:17" x14ac:dyDescent="0.3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3" t="s">
        <v>84</v>
      </c>
      <c r="O1" s="3" t="s">
        <v>80</v>
      </c>
      <c r="P1" s="3" t="s">
        <v>81</v>
      </c>
      <c r="Q1" s="1" t="s">
        <v>82</v>
      </c>
    </row>
    <row r="2" spans="1:17" x14ac:dyDescent="0.3">
      <c r="A2" s="1" t="s">
        <v>0</v>
      </c>
      <c r="B2" s="1" t="s">
        <v>31</v>
      </c>
      <c r="C2" s="1" t="s">
        <v>32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61</v>
      </c>
      <c r="K2" s="1" t="s">
        <v>62</v>
      </c>
      <c r="L2" s="1" t="s">
        <v>63</v>
      </c>
      <c r="M2" s="1" t="s">
        <v>83</v>
      </c>
      <c r="N2" s="1" t="s">
        <v>85</v>
      </c>
      <c r="O2" s="3" t="s">
        <v>65</v>
      </c>
      <c r="P2" s="3" t="s">
        <v>64</v>
      </c>
      <c r="Q2" s="1" t="s">
        <v>66</v>
      </c>
    </row>
    <row r="3" spans="1:17" x14ac:dyDescent="0.3">
      <c r="A3" t="s">
        <v>7</v>
      </c>
      <c r="B3" t="s">
        <v>34</v>
      </c>
      <c r="C3" t="s">
        <v>49</v>
      </c>
      <c r="D3">
        <v>1</v>
      </c>
      <c r="E3">
        <v>12</v>
      </c>
      <c r="F3" t="s">
        <v>33</v>
      </c>
      <c r="G3">
        <v>89</v>
      </c>
      <c r="H3">
        <v>89</v>
      </c>
      <c r="I3">
        <v>89</v>
      </c>
      <c r="J3">
        <f>SUM(G3:H3)</f>
        <v>178</v>
      </c>
      <c r="K3" t="str">
        <f>IF(J3&gt;=120,"Pass","Fail")</f>
        <v>Pass</v>
      </c>
      <c r="L3" s="2">
        <f>COUNTIF(F3:F17,"Bhilai")</f>
        <v>4</v>
      </c>
      <c r="M3" s="2">
        <f ca="1">COUNTIF(K3:K17,"Pass")</f>
        <v>11</v>
      </c>
      <c r="N3" s="2">
        <f ca="1">COUNTIF(K3:K17,"Fail")</f>
        <v>4</v>
      </c>
      <c r="O3">
        <f ca="1">MIN(J4:J17)</f>
        <v>72</v>
      </c>
      <c r="P3">
        <f ca="1">MAX(J3:J17)</f>
        <v>178</v>
      </c>
      <c r="Q3" s="4">
        <f>AVERAGE(G3:I3)</f>
        <v>89</v>
      </c>
    </row>
    <row r="4" spans="1:17" x14ac:dyDescent="0.3">
      <c r="A4" t="s">
        <v>8</v>
      </c>
      <c r="B4" t="s">
        <v>35</v>
      </c>
      <c r="C4" t="s">
        <v>50</v>
      </c>
      <c r="D4">
        <v>2</v>
      </c>
      <c r="E4">
        <v>12</v>
      </c>
      <c r="F4" t="s">
        <v>23</v>
      </c>
      <c r="G4">
        <f ca="1">RANDBETWEEN(75,85)</f>
        <v>84</v>
      </c>
      <c r="H4">
        <f t="shared" ref="H4:H17" ca="1" si="0">RANDBETWEEN(70,85)</f>
        <v>78</v>
      </c>
      <c r="I4">
        <f t="shared" ref="I4:I17" ca="1" si="1">RANDBETWEEN(80,90)</f>
        <v>82</v>
      </c>
      <c r="J4">
        <f t="shared" ref="J4:J17" ca="1" si="2">SUM(G4:H4)</f>
        <v>162</v>
      </c>
      <c r="K4" t="str">
        <f t="shared" ref="K4:K17" ca="1" si="3">IF(J4&gt;=120,"Pass","Fail")</f>
        <v>Pass</v>
      </c>
      <c r="Q4" s="4">
        <f t="shared" ref="Q4:Q17" ca="1" si="4">AVERAGE(G4:I4)</f>
        <v>81.333333333333329</v>
      </c>
    </row>
    <row r="5" spans="1:17" x14ac:dyDescent="0.3">
      <c r="A5" t="s">
        <v>13</v>
      </c>
      <c r="B5" t="s">
        <v>36</v>
      </c>
      <c r="C5" t="s">
        <v>51</v>
      </c>
      <c r="D5">
        <v>3</v>
      </c>
      <c r="E5">
        <v>12</v>
      </c>
      <c r="F5" t="s">
        <v>29</v>
      </c>
      <c r="G5">
        <f t="shared" ref="G5:G17" ca="1" si="5">RANDBETWEEN(75,85)</f>
        <v>83</v>
      </c>
      <c r="H5">
        <f t="shared" ca="1" si="0"/>
        <v>83</v>
      </c>
      <c r="I5">
        <f t="shared" ca="1" si="1"/>
        <v>88</v>
      </c>
      <c r="J5">
        <f t="shared" ca="1" si="2"/>
        <v>166</v>
      </c>
      <c r="K5" t="str">
        <f t="shared" ca="1" si="3"/>
        <v>Pass</v>
      </c>
      <c r="Q5" s="4">
        <f t="shared" ca="1" si="4"/>
        <v>84.666666666666671</v>
      </c>
    </row>
    <row r="6" spans="1:17" x14ac:dyDescent="0.3">
      <c r="A6" t="s">
        <v>14</v>
      </c>
      <c r="B6" t="s">
        <v>37</v>
      </c>
      <c r="C6" t="s">
        <v>52</v>
      </c>
      <c r="D6">
        <v>4</v>
      </c>
      <c r="E6">
        <v>12</v>
      </c>
      <c r="F6" t="s">
        <v>22</v>
      </c>
      <c r="G6">
        <f t="shared" ca="1" si="5"/>
        <v>78</v>
      </c>
      <c r="H6">
        <v>0</v>
      </c>
      <c r="I6">
        <f t="shared" ca="1" si="1"/>
        <v>80</v>
      </c>
      <c r="J6">
        <f t="shared" ca="1" si="2"/>
        <v>78</v>
      </c>
      <c r="K6" t="str">
        <f t="shared" ca="1" si="3"/>
        <v>Fail</v>
      </c>
      <c r="Q6" s="4">
        <f t="shared" ca="1" si="4"/>
        <v>52.666666666666664</v>
      </c>
    </row>
    <row r="7" spans="1:17" x14ac:dyDescent="0.3">
      <c r="A7" t="s">
        <v>11</v>
      </c>
      <c r="B7" t="s">
        <v>38</v>
      </c>
      <c r="C7" t="s">
        <v>53</v>
      </c>
      <c r="D7">
        <v>5</v>
      </c>
      <c r="E7">
        <v>12</v>
      </c>
      <c r="F7" t="s">
        <v>22</v>
      </c>
      <c r="G7">
        <f t="shared" ca="1" si="5"/>
        <v>82</v>
      </c>
      <c r="H7">
        <f t="shared" ca="1" si="0"/>
        <v>83</v>
      </c>
      <c r="I7">
        <f t="shared" ca="1" si="1"/>
        <v>80</v>
      </c>
      <c r="J7">
        <f t="shared" ca="1" si="2"/>
        <v>165</v>
      </c>
      <c r="K7" t="str">
        <f t="shared" ca="1" si="3"/>
        <v>Pass</v>
      </c>
      <c r="Q7" s="4">
        <f t="shared" ca="1" si="4"/>
        <v>81.666666666666671</v>
      </c>
    </row>
    <row r="8" spans="1:17" x14ac:dyDescent="0.3">
      <c r="A8" t="s">
        <v>9</v>
      </c>
      <c r="B8" t="s">
        <v>39</v>
      </c>
      <c r="C8" t="s">
        <v>54</v>
      </c>
      <c r="D8">
        <v>6</v>
      </c>
      <c r="E8">
        <v>12</v>
      </c>
      <c r="F8" t="s">
        <v>24</v>
      </c>
      <c r="G8">
        <f t="shared" ca="1" si="5"/>
        <v>83</v>
      </c>
      <c r="H8">
        <f t="shared" ca="1" si="0"/>
        <v>71</v>
      </c>
      <c r="I8">
        <f t="shared" ca="1" si="1"/>
        <v>81</v>
      </c>
      <c r="J8">
        <f t="shared" ca="1" si="2"/>
        <v>154</v>
      </c>
      <c r="K8" t="str">
        <f t="shared" ca="1" si="3"/>
        <v>Pass</v>
      </c>
      <c r="Q8" s="4">
        <f t="shared" ca="1" si="4"/>
        <v>78.333333333333329</v>
      </c>
    </row>
    <row r="9" spans="1:17" x14ac:dyDescent="0.3">
      <c r="A9" t="s">
        <v>10</v>
      </c>
      <c r="B9" t="s">
        <v>40</v>
      </c>
      <c r="C9" t="s">
        <v>50</v>
      </c>
      <c r="D9">
        <v>7</v>
      </c>
      <c r="E9">
        <v>12</v>
      </c>
      <c r="F9" t="s">
        <v>23</v>
      </c>
      <c r="G9">
        <f t="shared" ca="1" si="5"/>
        <v>77</v>
      </c>
      <c r="H9">
        <f t="shared" ca="1" si="0"/>
        <v>85</v>
      </c>
      <c r="I9">
        <f t="shared" ca="1" si="1"/>
        <v>84</v>
      </c>
      <c r="J9">
        <f t="shared" ca="1" si="2"/>
        <v>162</v>
      </c>
      <c r="K9" t="str">
        <f t="shared" ca="1" si="3"/>
        <v>Pass</v>
      </c>
      <c r="Q9" s="4">
        <f t="shared" ca="1" si="4"/>
        <v>82</v>
      </c>
    </row>
    <row r="10" spans="1:17" x14ac:dyDescent="0.3">
      <c r="A10" t="s">
        <v>12</v>
      </c>
      <c r="B10" t="s">
        <v>41</v>
      </c>
      <c r="C10" t="s">
        <v>55</v>
      </c>
      <c r="D10">
        <v>8</v>
      </c>
      <c r="E10">
        <v>12</v>
      </c>
      <c r="F10" t="s">
        <v>25</v>
      </c>
      <c r="G10">
        <v>0</v>
      </c>
      <c r="H10">
        <f t="shared" ca="1" si="0"/>
        <v>72</v>
      </c>
      <c r="I10">
        <f t="shared" ca="1" si="1"/>
        <v>88</v>
      </c>
      <c r="J10">
        <f t="shared" ca="1" si="2"/>
        <v>72</v>
      </c>
      <c r="K10" t="str">
        <f t="shared" ca="1" si="3"/>
        <v>Fail</v>
      </c>
      <c r="Q10" s="4">
        <f t="shared" ca="1" si="4"/>
        <v>53.333333333333336</v>
      </c>
    </row>
    <row r="11" spans="1:17" x14ac:dyDescent="0.3">
      <c r="A11" t="s">
        <v>15</v>
      </c>
      <c r="B11" t="s">
        <v>42</v>
      </c>
      <c r="C11" t="s">
        <v>56</v>
      </c>
      <c r="D11">
        <v>9</v>
      </c>
      <c r="E11">
        <v>12</v>
      </c>
      <c r="F11" t="s">
        <v>30</v>
      </c>
      <c r="G11">
        <f t="shared" ca="1" si="5"/>
        <v>84</v>
      </c>
      <c r="H11">
        <f t="shared" ca="1" si="0"/>
        <v>81</v>
      </c>
      <c r="I11">
        <f t="shared" ca="1" si="1"/>
        <v>81</v>
      </c>
      <c r="J11">
        <f t="shared" ca="1" si="2"/>
        <v>165</v>
      </c>
      <c r="K11" t="str">
        <f t="shared" ca="1" si="3"/>
        <v>Pass</v>
      </c>
      <c r="Q11" s="4">
        <f t="shared" ca="1" si="4"/>
        <v>82</v>
      </c>
    </row>
    <row r="12" spans="1:17" x14ac:dyDescent="0.3">
      <c r="A12" t="s">
        <v>16</v>
      </c>
      <c r="B12" t="s">
        <v>43</v>
      </c>
      <c r="C12" t="s">
        <v>57</v>
      </c>
      <c r="D12">
        <v>10</v>
      </c>
      <c r="E12">
        <v>12</v>
      </c>
      <c r="F12" t="s">
        <v>22</v>
      </c>
      <c r="G12">
        <f t="shared" ca="1" si="5"/>
        <v>82</v>
      </c>
      <c r="H12">
        <v>0</v>
      </c>
      <c r="I12">
        <f t="shared" ca="1" si="1"/>
        <v>89</v>
      </c>
      <c r="J12">
        <f t="shared" ca="1" si="2"/>
        <v>82</v>
      </c>
      <c r="K12" t="str">
        <f t="shared" ca="1" si="3"/>
        <v>Fail</v>
      </c>
      <c r="Q12" s="4">
        <f t="shared" ca="1" si="4"/>
        <v>57</v>
      </c>
    </row>
    <row r="13" spans="1:17" x14ac:dyDescent="0.3">
      <c r="A13" t="s">
        <v>17</v>
      </c>
      <c r="B13" t="s">
        <v>44</v>
      </c>
      <c r="C13" t="s">
        <v>58</v>
      </c>
      <c r="D13">
        <v>11</v>
      </c>
      <c r="E13">
        <v>12</v>
      </c>
      <c r="F13" t="s">
        <v>26</v>
      </c>
      <c r="G13">
        <f t="shared" ca="1" si="5"/>
        <v>82</v>
      </c>
      <c r="H13">
        <f t="shared" ca="1" si="0"/>
        <v>81</v>
      </c>
      <c r="I13">
        <f t="shared" ca="1" si="1"/>
        <v>82</v>
      </c>
      <c r="J13">
        <f t="shared" ca="1" si="2"/>
        <v>163</v>
      </c>
      <c r="K13" t="str">
        <f t="shared" ca="1" si="3"/>
        <v>Pass</v>
      </c>
      <c r="Q13" s="4">
        <f t="shared" ca="1" si="4"/>
        <v>81.666666666666671</v>
      </c>
    </row>
    <row r="14" spans="1:17" x14ac:dyDescent="0.3">
      <c r="A14" t="s">
        <v>18</v>
      </c>
      <c r="B14" t="s">
        <v>45</v>
      </c>
      <c r="C14" t="s">
        <v>59</v>
      </c>
      <c r="D14">
        <v>12</v>
      </c>
      <c r="E14">
        <v>12</v>
      </c>
      <c r="F14" t="s">
        <v>27</v>
      </c>
      <c r="G14">
        <f t="shared" ca="1" si="5"/>
        <v>75</v>
      </c>
      <c r="H14">
        <f t="shared" ca="1" si="0"/>
        <v>77</v>
      </c>
      <c r="I14">
        <f t="shared" ca="1" si="1"/>
        <v>88</v>
      </c>
      <c r="J14">
        <f t="shared" ca="1" si="2"/>
        <v>152</v>
      </c>
      <c r="K14" t="str">
        <f t="shared" ca="1" si="3"/>
        <v>Pass</v>
      </c>
      <c r="Q14" s="4">
        <f t="shared" ca="1" si="4"/>
        <v>80</v>
      </c>
    </row>
    <row r="15" spans="1:17" x14ac:dyDescent="0.3">
      <c r="A15" t="s">
        <v>19</v>
      </c>
      <c r="B15" t="s">
        <v>46</v>
      </c>
      <c r="C15" t="s">
        <v>49</v>
      </c>
      <c r="D15">
        <v>13</v>
      </c>
      <c r="E15">
        <v>12</v>
      </c>
      <c r="F15" t="s">
        <v>22</v>
      </c>
      <c r="G15">
        <f t="shared" ca="1" si="5"/>
        <v>77</v>
      </c>
      <c r="H15">
        <f t="shared" ca="1" si="0"/>
        <v>74</v>
      </c>
      <c r="I15">
        <f t="shared" ca="1" si="1"/>
        <v>84</v>
      </c>
      <c r="J15">
        <f t="shared" ca="1" si="2"/>
        <v>151</v>
      </c>
      <c r="K15" t="str">
        <f t="shared" ca="1" si="3"/>
        <v>Pass</v>
      </c>
      <c r="Q15" s="4">
        <f t="shared" ca="1" si="4"/>
        <v>78.333333333333329</v>
      </c>
    </row>
    <row r="16" spans="1:17" x14ac:dyDescent="0.3">
      <c r="A16" t="s">
        <v>20</v>
      </c>
      <c r="B16" t="s">
        <v>47</v>
      </c>
      <c r="C16" t="s">
        <v>52</v>
      </c>
      <c r="D16">
        <v>14</v>
      </c>
      <c r="E16">
        <v>12</v>
      </c>
      <c r="F16" t="s">
        <v>23</v>
      </c>
      <c r="G16" s="6">
        <v>0</v>
      </c>
      <c r="H16">
        <f t="shared" ca="1" si="0"/>
        <v>77</v>
      </c>
      <c r="I16">
        <f t="shared" ca="1" si="1"/>
        <v>90</v>
      </c>
      <c r="J16">
        <f t="shared" ca="1" si="2"/>
        <v>77</v>
      </c>
      <c r="K16" t="str">
        <f t="shared" ca="1" si="3"/>
        <v>Fail</v>
      </c>
      <c r="Q16" s="4">
        <f t="shared" ca="1" si="4"/>
        <v>55.666666666666664</v>
      </c>
    </row>
    <row r="17" spans="1:17" x14ac:dyDescent="0.3">
      <c r="A17" t="s">
        <v>21</v>
      </c>
      <c r="B17" t="s">
        <v>48</v>
      </c>
      <c r="C17" t="s">
        <v>60</v>
      </c>
      <c r="D17">
        <v>15</v>
      </c>
      <c r="E17">
        <v>12</v>
      </c>
      <c r="F17" t="s">
        <v>28</v>
      </c>
      <c r="G17">
        <f t="shared" ca="1" si="5"/>
        <v>82</v>
      </c>
      <c r="H17">
        <f t="shared" ca="1" si="0"/>
        <v>71</v>
      </c>
      <c r="I17">
        <f t="shared" ca="1" si="1"/>
        <v>86</v>
      </c>
      <c r="J17">
        <f t="shared" ca="1" si="2"/>
        <v>153</v>
      </c>
      <c r="K17" t="str">
        <f t="shared" ca="1" si="3"/>
        <v>Pass</v>
      </c>
      <c r="Q17" s="4">
        <f t="shared" ca="1" si="4"/>
        <v>79.666666666666671</v>
      </c>
    </row>
  </sheetData>
  <phoneticPr fontId="2" type="noConversion"/>
  <conditionalFormatting sqref="G3:I17">
    <cfRule type="cellIs" dxfId="8" priority="5" operator="lessThan">
      <formula>40</formula>
    </cfRule>
  </conditionalFormatting>
  <conditionalFormatting sqref="H6">
    <cfRule type="cellIs" dxfId="7" priority="4" operator="lessThan">
      <formula>70</formula>
    </cfRule>
  </conditionalFormatting>
  <conditionalFormatting sqref="G10">
    <cfRule type="cellIs" dxfId="6" priority="3" operator="lessThan">
      <formula>70</formula>
    </cfRule>
  </conditionalFormatting>
  <conditionalFormatting sqref="H12">
    <cfRule type="cellIs" dxfId="5" priority="2" operator="lessThan">
      <formula>70</formula>
    </cfRule>
  </conditionalFormatting>
  <conditionalFormatting sqref="G16">
    <cfRule type="cellIs" dxfId="0" priority="1" operator="lessThan">
      <formula>70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F37A-FE3B-4986-9C44-77C63A0855BF}">
  <dimension ref="A1"/>
  <sheetViews>
    <sheetView workbookViewId="0">
      <selection activeCell="F23" sqref="F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Marks_Analysis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sharma</dc:creator>
  <cp:lastModifiedBy>nitish sharma</cp:lastModifiedBy>
  <dcterms:created xsi:type="dcterms:W3CDTF">2025-12-23T09:16:10Z</dcterms:created>
  <dcterms:modified xsi:type="dcterms:W3CDTF">2025-12-23T14:41:19Z</dcterms:modified>
</cp:coreProperties>
</file>